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bingyi\Desktop\"/>
    </mc:Choice>
  </mc:AlternateContent>
  <xr:revisionPtr revIDLastSave="0" documentId="13_ncr:1_{D782ED4F-B17A-42C2-AFA5-E13272979B43}" xr6:coauthVersionLast="46" xr6:coauthVersionMax="46" xr10:uidLastSave="{00000000-0000-0000-0000-000000000000}"/>
  <bookViews>
    <workbookView xWindow="-28920" yWindow="-120" windowWidth="29040" windowHeight="15840" xr2:uid="{E08A232F-3B09-446D-9465-6B26C1F2BFC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G16" i="1" s="1"/>
  <c r="C15" i="1"/>
  <c r="D15" i="1" s="1"/>
  <c r="E15" i="1" s="1"/>
  <c r="F15" i="1" s="1"/>
  <c r="G15" i="1" s="1"/>
  <c r="C16" i="1"/>
  <c r="D16" i="1" s="1"/>
  <c r="E16" i="1" s="1"/>
  <c r="C17" i="1"/>
  <c r="D17" i="1" s="1"/>
  <c r="E17" i="1" s="1"/>
  <c r="F17" i="1" s="1"/>
  <c r="G17" i="1" s="1"/>
  <c r="C18" i="1"/>
  <c r="D18" i="1" s="1"/>
  <c r="E18" i="1" s="1"/>
  <c r="F18" i="1" s="1"/>
  <c r="G18" i="1" s="1"/>
  <c r="C27" i="1"/>
  <c r="D27" i="1" s="1"/>
  <c r="E27" i="1" s="1"/>
  <c r="F27" i="1" s="1"/>
  <c r="G27" i="1" s="1"/>
  <c r="C28" i="1"/>
  <c r="D28" i="1" s="1"/>
  <c r="E28" i="1" s="1"/>
  <c r="F28" i="1" s="1"/>
  <c r="G28" i="1" s="1"/>
  <c r="C29" i="1"/>
  <c r="D29" i="1" s="1"/>
  <c r="E29" i="1" s="1"/>
  <c r="F29" i="1" s="1"/>
  <c r="G29" i="1" s="1"/>
  <c r="C30" i="1"/>
  <c r="D30" i="1" s="1"/>
  <c r="E30" i="1" s="1"/>
  <c r="F30" i="1" s="1"/>
  <c r="G30" i="1" s="1"/>
  <c r="B3" i="1"/>
  <c r="C3" i="1" s="1"/>
  <c r="D3" i="1" s="1"/>
  <c r="E3" i="1" s="1"/>
  <c r="F3" i="1" s="1"/>
  <c r="G3" i="1" s="1"/>
  <c r="B4" i="1"/>
  <c r="C4" i="1" s="1"/>
  <c r="D4" i="1" s="1"/>
  <c r="E4" i="1" s="1"/>
  <c r="F4" i="1" s="1"/>
  <c r="G4" i="1" s="1"/>
  <c r="B5" i="1"/>
  <c r="B6" i="1"/>
  <c r="B7" i="1"/>
  <c r="B8" i="1"/>
  <c r="C8" i="1" s="1"/>
  <c r="D8" i="1" s="1"/>
  <c r="E8" i="1" s="1"/>
  <c r="F8" i="1" s="1"/>
  <c r="G8" i="1" s="1"/>
  <c r="B9" i="1"/>
  <c r="C9" i="1" s="1"/>
  <c r="D9" i="1" s="1"/>
  <c r="E9" i="1" s="1"/>
  <c r="F9" i="1" s="1"/>
  <c r="G9" i="1" s="1"/>
  <c r="B10" i="1"/>
  <c r="C10" i="1" s="1"/>
  <c r="D10" i="1" s="1"/>
  <c r="E10" i="1" s="1"/>
  <c r="F10" i="1" s="1"/>
  <c r="G10" i="1" s="1"/>
  <c r="B11" i="1"/>
  <c r="C11" i="1" s="1"/>
  <c r="D11" i="1" s="1"/>
  <c r="E11" i="1" s="1"/>
  <c r="F11" i="1" s="1"/>
  <c r="G11" i="1" s="1"/>
  <c r="B12" i="1"/>
  <c r="C12" i="1" s="1"/>
  <c r="D12" i="1" s="1"/>
  <c r="E12" i="1" s="1"/>
  <c r="F12" i="1" s="1"/>
  <c r="G12" i="1" s="1"/>
  <c r="B13" i="1"/>
  <c r="C13" i="1" s="1"/>
  <c r="D13" i="1" s="1"/>
  <c r="E13" i="1" s="1"/>
  <c r="F13" i="1" s="1"/>
  <c r="G13" i="1" s="1"/>
  <c r="B14" i="1"/>
  <c r="C14" i="1" s="1"/>
  <c r="D14" i="1" s="1"/>
  <c r="E14" i="1" s="1"/>
  <c r="F14" i="1" s="1"/>
  <c r="G14" i="1" s="1"/>
  <c r="B15" i="1"/>
  <c r="B16" i="1"/>
  <c r="B17" i="1"/>
  <c r="B18" i="1"/>
  <c r="B19" i="1"/>
  <c r="C19" i="1" s="1"/>
  <c r="D19" i="1" s="1"/>
  <c r="E19" i="1" s="1"/>
  <c r="F19" i="1" s="1"/>
  <c r="G19" i="1" s="1"/>
  <c r="B20" i="1"/>
  <c r="C20" i="1" s="1"/>
  <c r="D20" i="1" s="1"/>
  <c r="E20" i="1" s="1"/>
  <c r="F20" i="1" s="1"/>
  <c r="G20" i="1" s="1"/>
  <c r="B21" i="1"/>
  <c r="C21" i="1" s="1"/>
  <c r="D21" i="1" s="1"/>
  <c r="E21" i="1" s="1"/>
  <c r="F21" i="1" s="1"/>
  <c r="G21" i="1" s="1"/>
  <c r="B22" i="1"/>
  <c r="C22" i="1" s="1"/>
  <c r="D22" i="1" s="1"/>
  <c r="E22" i="1" s="1"/>
  <c r="F22" i="1" s="1"/>
  <c r="G22" i="1" s="1"/>
  <c r="B23" i="1"/>
  <c r="C23" i="1" s="1"/>
  <c r="D23" i="1" s="1"/>
  <c r="E23" i="1" s="1"/>
  <c r="F23" i="1" s="1"/>
  <c r="G23" i="1" s="1"/>
  <c r="B24" i="1"/>
  <c r="C24" i="1" s="1"/>
  <c r="D24" i="1" s="1"/>
  <c r="E24" i="1" s="1"/>
  <c r="F24" i="1" s="1"/>
  <c r="G24" i="1" s="1"/>
  <c r="B25" i="1"/>
  <c r="C25" i="1" s="1"/>
  <c r="D25" i="1" s="1"/>
  <c r="E25" i="1" s="1"/>
  <c r="F25" i="1" s="1"/>
  <c r="G25" i="1" s="1"/>
  <c r="B26" i="1"/>
  <c r="C26" i="1" s="1"/>
  <c r="D26" i="1" s="1"/>
  <c r="E26" i="1" s="1"/>
  <c r="F26" i="1" s="1"/>
  <c r="G26" i="1" s="1"/>
  <c r="B27" i="1"/>
  <c r="B28" i="1"/>
  <c r="B29" i="1"/>
  <c r="B30" i="1"/>
  <c r="B31" i="1"/>
  <c r="C31" i="1" s="1"/>
  <c r="D31" i="1" s="1"/>
  <c r="E31" i="1" s="1"/>
  <c r="F31" i="1" s="1"/>
  <c r="G31" i="1" s="1"/>
  <c r="B32" i="1"/>
  <c r="C32" i="1" s="1"/>
  <c r="D32" i="1" s="1"/>
  <c r="E32" i="1" s="1"/>
  <c r="F32" i="1" s="1"/>
  <c r="G32" i="1" s="1"/>
  <c r="B33" i="1"/>
  <c r="C33" i="1" s="1"/>
  <c r="D33" i="1" s="1"/>
  <c r="E33" i="1" s="1"/>
  <c r="F33" i="1" s="1"/>
  <c r="G33" i="1" s="1"/>
  <c r="B2" i="1"/>
  <c r="C2" i="1" s="1"/>
  <c r="D2" i="1" s="1"/>
  <c r="E2" i="1" s="1"/>
  <c r="F2" i="1" s="1"/>
  <c r="G2" i="1" s="1"/>
  <c r="C5" i="1"/>
  <c r="D5" i="1" s="1"/>
  <c r="E5" i="1" s="1"/>
  <c r="F5" i="1" s="1"/>
  <c r="G5" i="1" s="1"/>
  <c r="C6" i="1"/>
  <c r="D6" i="1" s="1"/>
  <c r="E6" i="1" s="1"/>
  <c r="F6" i="1" s="1"/>
  <c r="G6" i="1" s="1"/>
  <c r="C7" i="1"/>
  <c r="D7" i="1" s="1"/>
  <c r="E7" i="1" s="1"/>
  <c r="F7" i="1" s="1"/>
  <c r="G7" i="1" s="1"/>
</calcChain>
</file>

<file path=xl/sharedStrings.xml><?xml version="1.0" encoding="utf-8"?>
<sst xmlns="http://schemas.openxmlformats.org/spreadsheetml/2006/main" count="6" uniqueCount="6">
  <si>
    <t>bit gain</t>
    <phoneticPr fontId="2" type="noConversion"/>
  </si>
  <si>
    <t>bit</t>
    <phoneticPr fontId="2" type="noConversion"/>
  </si>
  <si>
    <t>fixed point</t>
    <phoneticPr fontId="2" type="noConversion"/>
  </si>
  <si>
    <t>Recovery float</t>
    <phoneticPr fontId="2" type="noConversion"/>
  </si>
  <si>
    <t>error</t>
    <phoneticPr fontId="2" type="noConversion"/>
  </si>
  <si>
    <t>error 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</si>
</sst>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0" fontId="1" fillId="2" borderId="0" xfId="1" applyAlignment="1">
      <alignment horizontal="center" vertical="center"/>
    </xf>
    <xf numFmtId="11" fontId="0" fillId="0" borderId="0" xfId="0" applyNumberFormat="1">
      <alignment vertical="center"/>
    </xf>
  </cellXfs>
  <cellStyles count="3">
    <cellStyle name="一般" xfId="0" builtinId="0"/>
    <cellStyle name="中等" xfId="1" builtinId="28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error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工作表1!$F$2:$F$33</c:f>
              <c:numCache>
                <c:formatCode>0.00E+00</c:formatCode>
                <c:ptCount val="32"/>
                <c:pt idx="0">
                  <c:v>7.2200000000000042E-2</c:v>
                </c:pt>
                <c:pt idx="1">
                  <c:v>7.2200000000000042E-2</c:v>
                </c:pt>
                <c:pt idx="2">
                  <c:v>7.2200000000000042E-2</c:v>
                </c:pt>
                <c:pt idx="3">
                  <c:v>5.2799999999999958E-2</c:v>
                </c:pt>
                <c:pt idx="4">
                  <c:v>9.7000000000000419E-3</c:v>
                </c:pt>
                <c:pt idx="5">
                  <c:v>9.7000000000000419E-3</c:v>
                </c:pt>
                <c:pt idx="6">
                  <c:v>5.9249999999999581E-3</c:v>
                </c:pt>
                <c:pt idx="7">
                  <c:v>1.8875000000000419E-3</c:v>
                </c:pt>
                <c:pt idx="8">
                  <c:v>1.8875000000000419E-3</c:v>
                </c:pt>
                <c:pt idx="9">
                  <c:v>6.5624999999958078E-5</c:v>
                </c:pt>
                <c:pt idx="10">
                  <c:v>6.5624999999958078E-5</c:v>
                </c:pt>
                <c:pt idx="11">
                  <c:v>6.5624999999958078E-5</c:v>
                </c:pt>
                <c:pt idx="12">
                  <c:v>6.5624999999958078E-5</c:v>
                </c:pt>
                <c:pt idx="13">
                  <c:v>5.6445312500041922E-5</c:v>
                </c:pt>
                <c:pt idx="14">
                  <c:v>4.589843749958078E-6</c:v>
                </c:pt>
                <c:pt idx="15">
                  <c:v>4.589843749958078E-6</c:v>
                </c:pt>
                <c:pt idx="16">
                  <c:v>4.589843749958078E-6</c:v>
                </c:pt>
                <c:pt idx="17">
                  <c:v>3.039550781291922E-6</c:v>
                </c:pt>
                <c:pt idx="18">
                  <c:v>7.7514648433307798E-7</c:v>
                </c:pt>
                <c:pt idx="19">
                  <c:v>7.7514648433307798E-7</c:v>
                </c:pt>
                <c:pt idx="20">
                  <c:v>1.7852783207317202E-7</c:v>
                </c:pt>
                <c:pt idx="21">
                  <c:v>1.7852783207317202E-7</c:v>
                </c:pt>
                <c:pt idx="22">
                  <c:v>5.9890747028390479E-8</c:v>
                </c:pt>
                <c:pt idx="23">
                  <c:v>5.9318542522390771E-8</c:v>
                </c:pt>
                <c:pt idx="24">
                  <c:v>2.8610225299985359E-10</c:v>
                </c:pt>
                <c:pt idx="25">
                  <c:v>2.8610225299985359E-10</c:v>
                </c:pt>
                <c:pt idx="26">
                  <c:v>2.8610225299985359E-10</c:v>
                </c:pt>
                <c:pt idx="27">
                  <c:v>2.8610225299985359E-10</c:v>
                </c:pt>
                <c:pt idx="28">
                  <c:v>2.8610225299985359E-10</c:v>
                </c:pt>
                <c:pt idx="29">
                  <c:v>2.8610225299985359E-10</c:v>
                </c:pt>
                <c:pt idx="30">
                  <c:v>2.8610225299985359E-10</c:v>
                </c:pt>
                <c:pt idx="31">
                  <c:v>1.7955903430788567E-10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C-466A-B3FA-3527A24DF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225952"/>
        <c:axId val="462226936"/>
      </c:scatterChart>
      <c:valAx>
        <c:axId val="46222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2226936"/>
        <c:crosses val="autoZero"/>
        <c:crossBetween val="midCat"/>
      </c:valAx>
      <c:valAx>
        <c:axId val="46222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222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3</xdr:row>
      <xdr:rowOff>171450</xdr:rowOff>
    </xdr:from>
    <xdr:to>
      <xdr:col>14</xdr:col>
      <xdr:colOff>152400</xdr:colOff>
      <xdr:row>16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4DC763-88AD-497A-B270-73C51C25F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E4F1-BD24-4DB6-8AFC-D594CBA8E5D3}">
  <dimension ref="A1:H33"/>
  <sheetViews>
    <sheetView tabSelected="1" workbookViewId="0">
      <selection activeCell="L24" sqref="L24"/>
    </sheetView>
  </sheetViews>
  <sheetFormatPr defaultRowHeight="16.5"/>
  <cols>
    <col min="1" max="1" width="9" style="1"/>
    <col min="2" max="2" width="11.625" style="2" bestFit="1" customWidth="1"/>
    <col min="5" max="5" width="13.375" bestFit="1" customWidth="1"/>
    <col min="6" max="6" width="13.625" bestFit="1" customWidth="1"/>
  </cols>
  <sheetData>
    <row r="1" spans="1:8">
      <c r="A1" s="2" t="s">
        <v>1</v>
      </c>
      <c r="B1" s="2" t="s">
        <v>0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5">
        <v>0.92779999999999996</v>
      </c>
    </row>
    <row r="2" spans="1:8">
      <c r="A2" s="1">
        <v>0</v>
      </c>
      <c r="B2" s="2">
        <f>2^A2</f>
        <v>1</v>
      </c>
      <c r="C2">
        <f>B2*$H$1</f>
        <v>0.92779999999999996</v>
      </c>
      <c r="D2">
        <f>ROUND(C2,0)</f>
        <v>1</v>
      </c>
      <c r="E2" s="6">
        <f>D2/B2</f>
        <v>1</v>
      </c>
      <c r="F2" s="6">
        <f>ABS(E2-$H$1)</f>
        <v>7.2200000000000042E-2</v>
      </c>
      <c r="G2" s="4">
        <f>F2/$H$1</f>
        <v>7.7818495365380519E-2</v>
      </c>
    </row>
    <row r="3" spans="1:8">
      <c r="A3" s="1">
        <v>1</v>
      </c>
      <c r="B3" s="2">
        <f t="shared" ref="B3:B33" si="0">2^A3</f>
        <v>2</v>
      </c>
      <c r="C3">
        <f>B3*$H$1</f>
        <v>1.8555999999999999</v>
      </c>
      <c r="D3">
        <f t="shared" ref="D3:D33" si="1">ROUND(C3,0)</f>
        <v>2</v>
      </c>
      <c r="E3" s="6">
        <f t="shared" ref="E3:E33" si="2">D3/B3</f>
        <v>1</v>
      </c>
      <c r="F3" s="6">
        <f>ABS(E3-$H$1)</f>
        <v>7.2200000000000042E-2</v>
      </c>
      <c r="G3" s="4">
        <f t="shared" ref="G3:G33" si="3">F3/$H$1</f>
        <v>7.7818495365380519E-2</v>
      </c>
    </row>
    <row r="4" spans="1:8">
      <c r="A4" s="1">
        <v>2</v>
      </c>
      <c r="B4" s="2">
        <f t="shared" si="0"/>
        <v>4</v>
      </c>
      <c r="C4">
        <f>B4*$H$1</f>
        <v>3.7111999999999998</v>
      </c>
      <c r="D4">
        <f t="shared" si="1"/>
        <v>4</v>
      </c>
      <c r="E4" s="6">
        <f t="shared" si="2"/>
        <v>1</v>
      </c>
      <c r="F4" s="6">
        <f>ABS(E4-$H$1)</f>
        <v>7.2200000000000042E-2</v>
      </c>
      <c r="G4" s="4">
        <f t="shared" si="3"/>
        <v>7.7818495365380519E-2</v>
      </c>
    </row>
    <row r="5" spans="1:8">
      <c r="A5" s="1">
        <v>3</v>
      </c>
      <c r="B5" s="2">
        <f t="shared" si="0"/>
        <v>8</v>
      </c>
      <c r="C5">
        <f>B5*$H$1</f>
        <v>7.4223999999999997</v>
      </c>
      <c r="D5">
        <f t="shared" si="1"/>
        <v>7</v>
      </c>
      <c r="E5" s="6">
        <f t="shared" si="2"/>
        <v>0.875</v>
      </c>
      <c r="F5" s="6">
        <f>ABS(E5-$H$1)</f>
        <v>5.2799999999999958E-2</v>
      </c>
      <c r="G5" s="4">
        <f t="shared" si="3"/>
        <v>5.6908816555292049E-2</v>
      </c>
    </row>
    <row r="6" spans="1:8">
      <c r="A6" s="1">
        <v>4</v>
      </c>
      <c r="B6" s="2">
        <f t="shared" si="0"/>
        <v>16</v>
      </c>
      <c r="C6">
        <f>B6*$H$1</f>
        <v>14.844799999999999</v>
      </c>
      <c r="D6">
        <f t="shared" si="1"/>
        <v>15</v>
      </c>
      <c r="E6" s="6">
        <f t="shared" si="2"/>
        <v>0.9375</v>
      </c>
      <c r="F6" s="6">
        <f>ABS(E6-$H$1)</f>
        <v>9.7000000000000419E-3</v>
      </c>
      <c r="G6" s="4">
        <f t="shared" si="3"/>
        <v>1.0454839405044236E-2</v>
      </c>
    </row>
    <row r="7" spans="1:8">
      <c r="A7" s="1">
        <v>5</v>
      </c>
      <c r="B7" s="2">
        <f t="shared" si="0"/>
        <v>32</v>
      </c>
      <c r="C7">
        <f>B7*$H$1</f>
        <v>29.689599999999999</v>
      </c>
      <c r="D7">
        <f t="shared" si="1"/>
        <v>30</v>
      </c>
      <c r="E7" s="6">
        <f t="shared" si="2"/>
        <v>0.9375</v>
      </c>
      <c r="F7" s="6">
        <f>ABS(E7-$H$1)</f>
        <v>9.7000000000000419E-3</v>
      </c>
      <c r="G7" s="4">
        <f t="shared" si="3"/>
        <v>1.0454839405044236E-2</v>
      </c>
    </row>
    <row r="8" spans="1:8">
      <c r="A8" s="1">
        <v>6</v>
      </c>
      <c r="B8" s="2">
        <f t="shared" si="0"/>
        <v>64</v>
      </c>
      <c r="C8">
        <f>B8*$H$1</f>
        <v>59.379199999999997</v>
      </c>
      <c r="D8">
        <f t="shared" si="1"/>
        <v>59</v>
      </c>
      <c r="E8" s="6">
        <f t="shared" si="2"/>
        <v>0.921875</v>
      </c>
      <c r="F8" s="6">
        <f>ABS(E8-$H$1)</f>
        <v>5.9249999999999581E-3</v>
      </c>
      <c r="G8" s="4">
        <f t="shared" si="3"/>
        <v>6.3860745850398346E-3</v>
      </c>
    </row>
    <row r="9" spans="1:8">
      <c r="A9" s="1">
        <v>7</v>
      </c>
      <c r="B9" s="2">
        <f t="shared" si="0"/>
        <v>128</v>
      </c>
      <c r="C9">
        <f>B9*$H$1</f>
        <v>118.75839999999999</v>
      </c>
      <c r="D9">
        <f t="shared" si="1"/>
        <v>119</v>
      </c>
      <c r="E9" s="6">
        <f t="shared" si="2"/>
        <v>0.9296875</v>
      </c>
      <c r="F9" s="6">
        <f>ABS(E9-$H$1)</f>
        <v>1.8875000000000419E-3</v>
      </c>
      <c r="G9" s="4">
        <f t="shared" si="3"/>
        <v>2.034382410002201E-3</v>
      </c>
    </row>
    <row r="10" spans="1:8">
      <c r="A10" s="1">
        <v>8</v>
      </c>
      <c r="B10" s="2">
        <f t="shared" si="0"/>
        <v>256</v>
      </c>
      <c r="C10">
        <f>B10*$H$1</f>
        <v>237.51679999999999</v>
      </c>
      <c r="D10">
        <f t="shared" si="1"/>
        <v>238</v>
      </c>
      <c r="E10" s="6">
        <f t="shared" si="2"/>
        <v>0.9296875</v>
      </c>
      <c r="F10" s="6">
        <f>ABS(E10-$H$1)</f>
        <v>1.8875000000000419E-3</v>
      </c>
      <c r="G10" s="4">
        <f t="shared" si="3"/>
        <v>2.034382410002201E-3</v>
      </c>
    </row>
    <row r="11" spans="1:8">
      <c r="A11" s="1">
        <v>9</v>
      </c>
      <c r="B11" s="2">
        <f t="shared" si="0"/>
        <v>512</v>
      </c>
      <c r="C11">
        <f>B11*$H$1</f>
        <v>475.03359999999998</v>
      </c>
      <c r="D11">
        <f t="shared" si="1"/>
        <v>475</v>
      </c>
      <c r="E11" s="6">
        <f t="shared" si="2"/>
        <v>0.927734375</v>
      </c>
      <c r="F11" s="6">
        <f>ABS(E11-$H$1)</f>
        <v>6.5624999999958078E-5</v>
      </c>
      <c r="G11" s="4">
        <f t="shared" si="3"/>
        <v>7.073183875830791E-5</v>
      </c>
    </row>
    <row r="12" spans="1:8">
      <c r="A12" s="1">
        <v>10</v>
      </c>
      <c r="B12" s="2">
        <f t="shared" si="0"/>
        <v>1024</v>
      </c>
      <c r="C12">
        <f>B12*$H$1</f>
        <v>950.06719999999996</v>
      </c>
      <c r="D12">
        <f t="shared" si="1"/>
        <v>950</v>
      </c>
      <c r="E12" s="6">
        <f t="shared" si="2"/>
        <v>0.927734375</v>
      </c>
      <c r="F12" s="6">
        <f>ABS(E12-$H$1)</f>
        <v>6.5624999999958078E-5</v>
      </c>
      <c r="G12" s="4">
        <f t="shared" si="3"/>
        <v>7.073183875830791E-5</v>
      </c>
    </row>
    <row r="13" spans="1:8">
      <c r="A13" s="1">
        <v>11</v>
      </c>
      <c r="B13" s="2">
        <f t="shared" si="0"/>
        <v>2048</v>
      </c>
      <c r="C13">
        <f>B13*$H$1</f>
        <v>1900.1343999999999</v>
      </c>
      <c r="D13">
        <f t="shared" si="1"/>
        <v>1900</v>
      </c>
      <c r="E13" s="6">
        <f t="shared" si="2"/>
        <v>0.927734375</v>
      </c>
      <c r="F13" s="6">
        <f>ABS(E13-$H$1)</f>
        <v>6.5624999999958078E-5</v>
      </c>
      <c r="G13" s="4">
        <f t="shared" si="3"/>
        <v>7.073183875830791E-5</v>
      </c>
    </row>
    <row r="14" spans="1:8">
      <c r="A14" s="1">
        <v>12</v>
      </c>
      <c r="B14" s="2">
        <f t="shared" si="0"/>
        <v>4096</v>
      </c>
      <c r="C14">
        <f>B14*$H$1</f>
        <v>3800.2687999999998</v>
      </c>
      <c r="D14">
        <f t="shared" si="1"/>
        <v>3800</v>
      </c>
      <c r="E14" s="6">
        <f t="shared" si="2"/>
        <v>0.927734375</v>
      </c>
      <c r="F14" s="6">
        <f>ABS(E14-$H$1)</f>
        <v>6.5624999999958078E-5</v>
      </c>
      <c r="G14" s="4">
        <f t="shared" si="3"/>
        <v>7.073183875830791E-5</v>
      </c>
    </row>
    <row r="15" spans="1:8">
      <c r="A15" s="1">
        <v>13</v>
      </c>
      <c r="B15" s="2">
        <f t="shared" si="0"/>
        <v>8192</v>
      </c>
      <c r="C15">
        <f>B15*$H$1</f>
        <v>7600.5375999999997</v>
      </c>
      <c r="D15">
        <f t="shared" si="1"/>
        <v>7601</v>
      </c>
      <c r="E15" s="6">
        <f t="shared" si="2"/>
        <v>0.9278564453125</v>
      </c>
      <c r="F15" s="6">
        <f>ABS(E15-$H$1)</f>
        <v>5.6445312500041922E-5</v>
      </c>
      <c r="G15" s="4">
        <f t="shared" si="3"/>
        <v>6.0837801789223889E-5</v>
      </c>
    </row>
    <row r="16" spans="1:8">
      <c r="A16" s="1">
        <v>14</v>
      </c>
      <c r="B16" s="2">
        <f t="shared" si="0"/>
        <v>16384</v>
      </c>
      <c r="C16">
        <f>B16*$H$1</f>
        <v>15201.075199999999</v>
      </c>
      <c r="D16">
        <f t="shared" si="1"/>
        <v>15201</v>
      </c>
      <c r="E16" s="6">
        <f t="shared" si="2"/>
        <v>0.92779541015625</v>
      </c>
      <c r="F16" s="6">
        <f>ABS(E16-$H$1)</f>
        <v>4.589843749958078E-6</v>
      </c>
      <c r="G16" s="4">
        <f t="shared" si="3"/>
        <v>4.9470184845420113E-6</v>
      </c>
    </row>
    <row r="17" spans="1:7">
      <c r="A17" s="1">
        <v>15</v>
      </c>
      <c r="B17" s="2">
        <f t="shared" si="0"/>
        <v>32768</v>
      </c>
      <c r="C17">
        <f>B17*$H$1</f>
        <v>30402.150399999999</v>
      </c>
      <c r="D17">
        <f t="shared" si="1"/>
        <v>30402</v>
      </c>
      <c r="E17" s="6">
        <f t="shared" si="2"/>
        <v>0.92779541015625</v>
      </c>
      <c r="F17" s="6">
        <f>ABS(E17-$H$1)</f>
        <v>4.589843749958078E-6</v>
      </c>
      <c r="G17" s="4">
        <f t="shared" si="3"/>
        <v>4.9470184845420113E-6</v>
      </c>
    </row>
    <row r="18" spans="1:7">
      <c r="A18" s="1">
        <v>16</v>
      </c>
      <c r="B18" s="2">
        <f t="shared" si="0"/>
        <v>65536</v>
      </c>
      <c r="C18">
        <f>B18*$H$1</f>
        <v>60804.300799999997</v>
      </c>
      <c r="D18">
        <f t="shared" si="1"/>
        <v>60804</v>
      </c>
      <c r="E18" s="6">
        <f t="shared" si="2"/>
        <v>0.92779541015625</v>
      </c>
      <c r="F18" s="6">
        <f>ABS(E18-$H$1)</f>
        <v>4.589843749958078E-6</v>
      </c>
      <c r="G18" s="4">
        <f t="shared" si="3"/>
        <v>4.9470184845420113E-6</v>
      </c>
    </row>
    <row r="19" spans="1:7">
      <c r="A19" s="1">
        <v>17</v>
      </c>
      <c r="B19" s="2">
        <f t="shared" si="0"/>
        <v>131072</v>
      </c>
      <c r="C19">
        <f>B19*$H$1</f>
        <v>121608.60159999999</v>
      </c>
      <c r="D19">
        <f t="shared" si="1"/>
        <v>121609</v>
      </c>
      <c r="E19" s="6">
        <f t="shared" si="2"/>
        <v>0.92780303955078125</v>
      </c>
      <c r="F19" s="6">
        <f>ABS(E19-$H$1)</f>
        <v>3.039550781291922E-6</v>
      </c>
      <c r="G19" s="4">
        <f t="shared" si="3"/>
        <v>3.2760840496787261E-6</v>
      </c>
    </row>
    <row r="20" spans="1:7">
      <c r="A20" s="1">
        <v>18</v>
      </c>
      <c r="B20" s="2">
        <f t="shared" si="0"/>
        <v>262144</v>
      </c>
      <c r="C20">
        <f>B20*$H$1</f>
        <v>243217.20319999999</v>
      </c>
      <c r="D20">
        <f t="shared" si="1"/>
        <v>243217</v>
      </c>
      <c r="E20" s="6">
        <f t="shared" si="2"/>
        <v>0.92779922485351563</v>
      </c>
      <c r="F20" s="6">
        <f>ABS(E20-$H$1)</f>
        <v>7.7514648433307798E-7</v>
      </c>
      <c r="G20" s="4">
        <f t="shared" si="3"/>
        <v>8.3546721743164266E-7</v>
      </c>
    </row>
    <row r="21" spans="1:7">
      <c r="A21" s="1">
        <v>19</v>
      </c>
      <c r="B21" s="2">
        <f t="shared" si="0"/>
        <v>524288</v>
      </c>
      <c r="C21">
        <f>B21*$H$1</f>
        <v>486434.40639999998</v>
      </c>
      <c r="D21">
        <f t="shared" si="1"/>
        <v>486434</v>
      </c>
      <c r="E21" s="6">
        <f t="shared" si="2"/>
        <v>0.92779922485351563</v>
      </c>
      <c r="F21" s="6">
        <f>ABS(E21-$H$1)</f>
        <v>7.7514648433307798E-7</v>
      </c>
      <c r="G21" s="4">
        <f t="shared" si="3"/>
        <v>8.3546721743164266E-7</v>
      </c>
    </row>
    <row r="22" spans="1:7">
      <c r="A22" s="1">
        <v>20</v>
      </c>
      <c r="B22" s="2">
        <f t="shared" si="0"/>
        <v>1048576</v>
      </c>
      <c r="C22">
        <f>B22*$H$1</f>
        <v>972868.81279999996</v>
      </c>
      <c r="D22">
        <f t="shared" si="1"/>
        <v>972869</v>
      </c>
      <c r="E22" s="6">
        <f t="shared" si="2"/>
        <v>0.92780017852783203</v>
      </c>
      <c r="F22" s="6">
        <f>ABS(E22-$H$1)</f>
        <v>1.7852783207317202E-7</v>
      </c>
      <c r="G22" s="4">
        <f t="shared" si="3"/>
        <v>1.9242059934594959E-7</v>
      </c>
    </row>
    <row r="23" spans="1:7">
      <c r="A23" s="1">
        <v>21</v>
      </c>
      <c r="B23" s="2">
        <f t="shared" si="0"/>
        <v>2097152</v>
      </c>
      <c r="C23">
        <f>B23*$H$1</f>
        <v>1945737.6255999999</v>
      </c>
      <c r="D23">
        <f t="shared" si="1"/>
        <v>1945738</v>
      </c>
      <c r="E23" s="6">
        <f t="shared" si="2"/>
        <v>0.92780017852783203</v>
      </c>
      <c r="F23" s="6">
        <f>ABS(E23-$H$1)</f>
        <v>1.7852783207317202E-7</v>
      </c>
      <c r="G23" s="4">
        <f t="shared" si="3"/>
        <v>1.9242059934594959E-7</v>
      </c>
    </row>
    <row r="24" spans="1:7">
      <c r="A24" s="1">
        <v>22</v>
      </c>
      <c r="B24" s="2">
        <f t="shared" si="0"/>
        <v>4194304</v>
      </c>
      <c r="C24">
        <f>B24*$H$1</f>
        <v>3891475.2511999998</v>
      </c>
      <c r="D24">
        <f t="shared" si="1"/>
        <v>3891475</v>
      </c>
      <c r="E24" s="6">
        <f t="shared" si="2"/>
        <v>0.92779994010925293</v>
      </c>
      <c r="F24" s="6">
        <f>ABS(E24-$H$1)</f>
        <v>5.9890747028390479E-8</v>
      </c>
      <c r="G24" s="4">
        <f t="shared" si="3"/>
        <v>6.4551354848448466E-8</v>
      </c>
    </row>
    <row r="25" spans="1:7">
      <c r="A25" s="1">
        <v>23</v>
      </c>
      <c r="B25" s="2">
        <f t="shared" si="0"/>
        <v>8388608</v>
      </c>
      <c r="C25">
        <f>B25*$H$1</f>
        <v>7782950.5023999996</v>
      </c>
      <c r="D25">
        <f t="shared" si="1"/>
        <v>7782951</v>
      </c>
      <c r="E25" s="6">
        <f t="shared" si="2"/>
        <v>0.92780005931854248</v>
      </c>
      <c r="F25" s="6">
        <f>ABS(E25-$H$1)</f>
        <v>5.9318542522390771E-8</v>
      </c>
      <c r="G25" s="4">
        <f t="shared" si="3"/>
        <v>6.3934622248750563E-8</v>
      </c>
    </row>
    <row r="26" spans="1:7">
      <c r="A26" s="1">
        <v>24</v>
      </c>
      <c r="B26" s="2">
        <f t="shared" si="0"/>
        <v>16777216</v>
      </c>
      <c r="C26">
        <f>B26*$H$1</f>
        <v>15565901.004799999</v>
      </c>
      <c r="D26">
        <f t="shared" si="1"/>
        <v>15565901</v>
      </c>
      <c r="E26" s="6">
        <f t="shared" si="2"/>
        <v>0.92779999971389771</v>
      </c>
      <c r="F26" s="6">
        <f>ABS(E26-$H$1)</f>
        <v>2.8610225299985359E-10</v>
      </c>
      <c r="G26" s="4">
        <f t="shared" si="3"/>
        <v>3.0836629984894762E-10</v>
      </c>
    </row>
    <row r="27" spans="1:7">
      <c r="A27" s="1">
        <v>25</v>
      </c>
      <c r="B27" s="2">
        <f t="shared" si="0"/>
        <v>33554432</v>
      </c>
      <c r="C27">
        <f>B27*$H$1</f>
        <v>31131802.009599999</v>
      </c>
      <c r="D27">
        <f t="shared" si="1"/>
        <v>31131802</v>
      </c>
      <c r="E27" s="6">
        <f t="shared" si="2"/>
        <v>0.92779999971389771</v>
      </c>
      <c r="F27" s="6">
        <f>ABS(E27-$H$1)</f>
        <v>2.8610225299985359E-10</v>
      </c>
      <c r="G27" s="4">
        <f t="shared" si="3"/>
        <v>3.0836629984894762E-10</v>
      </c>
    </row>
    <row r="28" spans="1:7">
      <c r="A28" s="1">
        <v>26</v>
      </c>
      <c r="B28" s="2">
        <f t="shared" si="0"/>
        <v>67108864</v>
      </c>
      <c r="C28">
        <f>B28*$H$1</f>
        <v>62263604.019199997</v>
      </c>
      <c r="D28">
        <f t="shared" si="1"/>
        <v>62263604</v>
      </c>
      <c r="E28" s="6">
        <f t="shared" si="2"/>
        <v>0.92779999971389771</v>
      </c>
      <c r="F28" s="6">
        <f>ABS(E28-$H$1)</f>
        <v>2.8610225299985359E-10</v>
      </c>
      <c r="G28" s="4">
        <f t="shared" si="3"/>
        <v>3.0836629984894762E-10</v>
      </c>
    </row>
    <row r="29" spans="1:7">
      <c r="A29" s="1">
        <v>27</v>
      </c>
      <c r="B29" s="2">
        <f t="shared" si="0"/>
        <v>134217728</v>
      </c>
      <c r="C29">
        <f>B29*$H$1</f>
        <v>124527208.03839999</v>
      </c>
      <c r="D29">
        <f t="shared" si="1"/>
        <v>124527208</v>
      </c>
      <c r="E29" s="6">
        <f t="shared" si="2"/>
        <v>0.92779999971389771</v>
      </c>
      <c r="F29" s="6">
        <f>ABS(E29-$H$1)</f>
        <v>2.8610225299985359E-10</v>
      </c>
      <c r="G29" s="4">
        <f t="shared" si="3"/>
        <v>3.0836629984894762E-10</v>
      </c>
    </row>
    <row r="30" spans="1:7">
      <c r="A30" s="1">
        <v>28</v>
      </c>
      <c r="B30" s="2">
        <f t="shared" si="0"/>
        <v>268435456</v>
      </c>
      <c r="C30">
        <f>B30*$H$1</f>
        <v>249054416.07679999</v>
      </c>
      <c r="D30">
        <f t="shared" si="1"/>
        <v>249054416</v>
      </c>
      <c r="E30" s="6">
        <f t="shared" si="2"/>
        <v>0.92779999971389771</v>
      </c>
      <c r="F30" s="6">
        <f>ABS(E30-$H$1)</f>
        <v>2.8610225299985359E-10</v>
      </c>
      <c r="G30" s="4">
        <f t="shared" si="3"/>
        <v>3.0836629984894762E-10</v>
      </c>
    </row>
    <row r="31" spans="1:7">
      <c r="A31" s="1">
        <v>29</v>
      </c>
      <c r="B31" s="2">
        <f t="shared" si="0"/>
        <v>536870912</v>
      </c>
      <c r="C31">
        <f>B31*$H$1</f>
        <v>498108832.15359998</v>
      </c>
      <c r="D31">
        <f t="shared" si="1"/>
        <v>498108832</v>
      </c>
      <c r="E31" s="6">
        <f t="shared" si="2"/>
        <v>0.92779999971389771</v>
      </c>
      <c r="F31" s="6">
        <f>ABS(E31-$H$1)</f>
        <v>2.8610225299985359E-10</v>
      </c>
      <c r="G31" s="4">
        <f t="shared" si="3"/>
        <v>3.0836629984894762E-10</v>
      </c>
    </row>
    <row r="32" spans="1:7">
      <c r="A32" s="1">
        <v>30</v>
      </c>
      <c r="B32" s="2">
        <f t="shared" si="0"/>
        <v>1073741824</v>
      </c>
      <c r="C32">
        <f>B32*$H$1</f>
        <v>996217664.30719995</v>
      </c>
      <c r="D32">
        <f t="shared" si="1"/>
        <v>996217664</v>
      </c>
      <c r="E32" s="6">
        <f t="shared" si="2"/>
        <v>0.92779999971389771</v>
      </c>
      <c r="F32" s="6">
        <f>ABS(E32-$H$1)</f>
        <v>2.8610225299985359E-10</v>
      </c>
      <c r="G32" s="4">
        <f t="shared" si="3"/>
        <v>3.0836629984894762E-10</v>
      </c>
    </row>
    <row r="33" spans="1:7">
      <c r="A33" s="1">
        <v>31</v>
      </c>
      <c r="B33" s="2">
        <f t="shared" si="0"/>
        <v>2147483648</v>
      </c>
      <c r="C33">
        <f>B33*$H$1</f>
        <v>1992435328.6143999</v>
      </c>
      <c r="D33">
        <f t="shared" si="1"/>
        <v>1992435329</v>
      </c>
      <c r="E33" s="6">
        <f t="shared" si="2"/>
        <v>0.92780000017955899</v>
      </c>
      <c r="F33" s="6">
        <f>ABS(E33-$H$1)</f>
        <v>1.7955903430788567E-10</v>
      </c>
      <c r="G33" s="4">
        <f t="shared" si="3"/>
        <v>1.9353204818698606E-10</v>
      </c>
    </row>
  </sheetData>
  <mergeCells count="1">
    <mergeCell ref="C1:D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songbingyi</dc:creator>
  <cp:lastModifiedBy>songbingyi</cp:lastModifiedBy>
  <dcterms:created xsi:type="dcterms:W3CDTF">2021-04-09T06:55:58Z</dcterms:created>
  <dcterms:modified xsi:type="dcterms:W3CDTF">2021-04-10T06:44:01Z</dcterms:modified>
</cp:coreProperties>
</file>